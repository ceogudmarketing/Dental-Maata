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ppointments" sheetId="2" state="visible" r:id="rId4"/>
    <sheet name="Patients" sheetId="3" state="visible" r:id="rId5"/>
    <sheet name="Accounts" sheetId="4" state="visible" r:id="rId6"/>
    <sheet name="Assistant Tasks" sheetId="5" state="visible" r:id="rId7"/>
    <sheet name="Doctor Messages" sheetId="6" state="visible" r:id="rId8"/>
    <sheet name="Services &amp; Fe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<sst xmlns="http://schemas.openxmlformats.org/spreadsheetml/2006/main" count="147" uniqueCount="90">
  <si>
    <t xml:space="preserve">ConfiDental Care</t>
  </si>
  <si>
    <t xml:space="preserve">Practice cockpit · powered by Dental Mata  ·  Dr. Thejasri Vishnubhatla, BDS MDS  ·  Bidhannagar, Durgapur</t>
  </si>
  <si>
    <t xml:space="preserve">TODAY AT A GLANCE</t>
  </si>
  <si>
    <t xml:space="preserve">Patients booked today</t>
  </si>
  <si>
    <t xml:space="preserve">Urgent today</t>
  </si>
  <si>
    <t xml:space="preserve">Expected today</t>
  </si>
  <si>
    <t xml:space="preserve">Booked ahead</t>
  </si>
  <si>
    <t xml:space="preserve">ACCOUNTS</t>
  </si>
  <si>
    <t xml:space="preserve">Total billed (all time)</t>
  </si>
  <si>
    <t xml:space="preserve">Collected</t>
  </si>
  <si>
    <t xml:space="preserve">Outstanding</t>
  </si>
  <si>
    <t xml:space="preserve">Registered patients</t>
  </si>
  <si>
    <t xml:space="preserve">OPEN ITEMS</t>
  </si>
  <si>
    <t xml:space="preserve">Assistant tasks open</t>
  </si>
  <si>
    <t xml:space="preserve">Doctor notes unread</t>
  </si>
  <si>
    <t xml:space="preserve">Tip: this dashboard recalculates from the Appointments, Accounts and task tabs. Dental Mata writes new rows there automatically once the live bot is connected — or your front desk can type them in by hand.</t>
  </si>
  <si>
    <t xml:space="preserve">Date</t>
  </si>
  <si>
    <t xml:space="preserve">Time</t>
  </si>
  <si>
    <t xml:space="preserve">Patient</t>
  </si>
  <si>
    <t xml:space="preserve">Phone</t>
  </si>
  <si>
    <t xml:space="preserve">Treatment / Reason</t>
  </si>
  <si>
    <t xml:space="preserve">Channel</t>
  </si>
  <si>
    <t xml:space="preserve">Urgent</t>
  </si>
  <si>
    <t xml:space="preserve">Status</t>
  </si>
  <si>
    <t xml:space="preserve">Fee (₹)</t>
  </si>
  <si>
    <t xml:space="preserve">11:00</t>
  </si>
  <si>
    <t xml:space="preserve">Riya Das</t>
  </si>
  <si>
    <t xml:space="preserve">+91 90000 11122</t>
  </si>
  <si>
    <t xml:space="preserve">Scaling &amp; polishing</t>
  </si>
  <si>
    <t xml:space="preserve">WhatsApp</t>
  </si>
  <si>
    <t xml:space="preserve">No</t>
  </si>
  <si>
    <t xml:space="preserve">Booked</t>
  </si>
  <si>
    <t xml:space="preserve">17:30</t>
  </si>
  <si>
    <t xml:space="preserve">Anil Kumar</t>
  </si>
  <si>
    <t xml:space="preserve">+91 90000 33344</t>
  </si>
  <si>
    <t xml:space="preserve">Tooth pain — upper left</t>
  </si>
  <si>
    <t xml:space="preserve">Google</t>
  </si>
  <si>
    <t xml:space="preserve">Yes</t>
  </si>
  <si>
    <t xml:space="preserve">10:30</t>
  </si>
  <si>
    <t xml:space="preserve">Meera Joshi</t>
  </si>
  <si>
    <t xml:space="preserve">+91 90000 55566</t>
  </si>
  <si>
    <t xml:space="preserve">Root canal — review</t>
  </si>
  <si>
    <t xml:space="preserve">Website</t>
  </si>
  <si>
    <t xml:space="preserve">12:00</t>
  </si>
  <si>
    <t xml:space="preserve">Sourav Pal</t>
  </si>
  <si>
    <t xml:space="preserve">+91 90000 77788</t>
  </si>
  <si>
    <t xml:space="preserve">Dental implant consult</t>
  </si>
  <si>
    <t xml:space="preserve">18:00</t>
  </si>
  <si>
    <t xml:space="preserve">Priya Singh</t>
  </si>
  <si>
    <t xml:space="preserve">+91 90000 99900</t>
  </si>
  <si>
    <t xml:space="preserve">Teeth whitening</t>
  </si>
  <si>
    <t xml:space="preserve">Walk-in</t>
  </si>
  <si>
    <t xml:space="preserve">Done</t>
  </si>
  <si>
    <t xml:space="preserve">First reached via</t>
  </si>
  <si>
    <t xml:space="preserve">Completed visits</t>
  </si>
  <si>
    <t xml:space="preserve">Total billed (₹)</t>
  </si>
  <si>
    <t xml:space="preserve">Paid (₹)</t>
  </si>
  <si>
    <t xml:space="preserve">Balance (₹)</t>
  </si>
  <si>
    <t xml:space="preserve">Treatment</t>
  </si>
  <si>
    <t xml:space="preserve">Charge (₹)</t>
  </si>
  <si>
    <t xml:space="preserve">Due (₹)</t>
  </si>
  <si>
    <t xml:space="preserve">Summary</t>
  </si>
  <si>
    <t xml:space="preserve">Billed</t>
  </si>
  <si>
    <t xml:space="preserve">Root canal — session 1</t>
  </si>
  <si>
    <t xml:space="preserve">Emergency consult — tooth pain</t>
  </si>
  <si>
    <t xml:space="preserve">Implant consultation</t>
  </si>
  <si>
    <t xml:space="preserve">Task</t>
  </si>
  <si>
    <t xml:space="preserve">Priority</t>
  </si>
  <si>
    <t xml:space="preserve">Set up scaling tray for 11:00</t>
  </si>
  <si>
    <t xml:space="preserve">Open</t>
  </si>
  <si>
    <t xml:space="preserve">Normal</t>
  </si>
  <si>
    <t xml:space="preserve">Keep emergency tray ready — 17:30 tooth pain</t>
  </si>
  <si>
    <t xml:space="preserve">High</t>
  </si>
  <si>
    <t xml:space="preserve">Pull RCT file for review, 10:30</t>
  </si>
  <si>
    <t xml:space="preserve">Message to Dr. Thejasri</t>
  </si>
  <si>
    <t xml:space="preserve">Acknowledged</t>
  </si>
  <si>
    <t xml:space="preserve">Urgent: sharp upper-left pain 2 days. Possible pulpitis — may need same-day X-ray.</t>
  </si>
  <si>
    <t xml:space="preserve">New implant enquiry booked for consult. Patient asked about cost &amp; timeline.</t>
  </si>
  <si>
    <t xml:space="preserve">Standard fee (₹)</t>
  </si>
  <si>
    <t xml:space="preserve">Edit these to your actual ConfiDental rates — Dental Mata quotes from this list.</t>
  </si>
  <si>
    <t xml:space="preserve">Consultation</t>
  </si>
  <si>
    <t xml:space="preserve">Tooth filling</t>
  </si>
  <si>
    <t xml:space="preserve">Root canal treatment (RCT)</t>
  </si>
  <si>
    <t xml:space="preserve">Tooth extraction</t>
  </si>
  <si>
    <t xml:space="preserve">Dental implant (per tooth)</t>
  </si>
  <si>
    <t xml:space="preserve">Braces (full treatment)</t>
  </si>
  <si>
    <t xml:space="preserve">Smile makeover</t>
  </si>
  <si>
    <t xml:space="preserve">Crown / cap</t>
  </si>
  <si>
    <t xml:space="preserve">Dentures (full set)</t>
  </si>
  <si>
    <t xml:space="preserve">X-ray (IOPA)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</si>
</sst>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₹#,##0;[RED]&quot;(₹&quot;#,##0\);\–"/>
    <numFmt numFmtId="167" formatCode="ddd\ dd\-mmm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C8102E"/>
      <name val="Arial"/>
      <family val="0"/>
      <charset val="1"/>
    </font>
    <font>
      <sz val="10"/>
      <color rgb="FF5C6E68"/>
      <name val="Arial"/>
      <family val="0"/>
      <charset val="1"/>
    </font>
    <font>
      <b val="true"/>
      <sz val="10"/>
      <color rgb="FF0F8A82"/>
      <name val="Arial"/>
      <family val="0"/>
      <charset val="1"/>
    </font>
    <font>
      <b val="true"/>
      <sz val="10"/>
      <color rgb="FFC8102E"/>
      <name val="Arial"/>
      <family val="0"/>
      <charset val="1"/>
    </font>
    <font>
      <b val="true"/>
      <sz val="9.5"/>
      <color rgb="FF5C6E68"/>
      <name val="Arial"/>
      <family val="0"/>
      <charset val="1"/>
    </font>
    <font>
      <b val="true"/>
      <sz val="20"/>
      <color rgb="FF0F8A82"/>
      <name val="Arial"/>
      <family val="0"/>
      <charset val="1"/>
    </font>
    <font>
      <b val="true"/>
      <sz val="20"/>
      <color rgb="FFC8102E"/>
      <name val="Arial"/>
      <family val="0"/>
      <charset val="1"/>
    </font>
    <font>
      <b val="true"/>
      <sz val="20"/>
      <color rgb="FFD9962F"/>
      <name val="Arial"/>
      <family val="0"/>
      <charset val="1"/>
    </font>
    <font>
      <sz val="9"/>
      <color rgb="FF8A9A9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b val="true"/>
      <sz val="10"/>
      <color rgb="FF9E0C24"/>
      <name val="Arial"/>
      <family val="0"/>
      <charset val="1"/>
    </font>
    <font>
      <sz val="9.5"/>
      <color rgb="FF8A9A94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AF1ED"/>
        <bgColor rgb="FFF4F8F6"/>
      </patternFill>
    </fill>
    <fill>
      <patternFill patternType="solid">
        <fgColor rgb="FFC8102E"/>
        <bgColor rgb="FF9E0C24"/>
      </patternFill>
    </fill>
    <fill>
      <patternFill patternType="solid">
        <fgColor rgb="FFF4F8F6"/>
        <bgColor rgb="FFEAF1ED"/>
      </patternFill>
    </fill>
    <fill>
      <patternFill patternType="solid">
        <fgColor rgb="FFFBE5DF"/>
        <bgColor rgb="FFFFF6D6"/>
      </patternFill>
    </fill>
    <fill>
      <patternFill patternType="solid">
        <fgColor rgb="FFFFF6D6"/>
        <bgColor rgb="FFF4F8F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E4DF"/>
      </left>
      <right style="thin">
        <color rgb="FFD9E4DF"/>
      </right>
      <top style="thin">
        <color rgb="FFD9E4DF"/>
      </top>
      <bottom/>
      <diagonal/>
    </border>
    <border diagonalUp="false" diagonalDown="false">
      <left style="thin">
        <color rgb="FFD9E4DF"/>
      </left>
      <right style="thin">
        <color rgb="FFD9E4DF"/>
      </right>
      <top/>
      <bottom style="thin">
        <color rgb="FFD9E4DF"/>
      </bottom>
      <diagonal/>
    </border>
    <border diagonalUp="false" diagonalDown="false">
      <left style="thin">
        <color rgb="FFD9E4DF"/>
      </left>
      <right style="thin">
        <color rgb="FFD9E4DF"/>
      </right>
      <top style="thin">
        <color rgb="FFD9E4DF"/>
      </top>
      <bottom style="thin">
        <color rgb="FFD9E4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9E0C24"/>
      <rgbColor rgb="FF008000"/>
      <rgbColor rgb="FF000080"/>
      <rgbColor rgb="FF808000"/>
      <rgbColor rgb="FF800080"/>
      <rgbColor rgb="FF0F8A82"/>
      <rgbColor rgb="FFC0C0C0"/>
      <rgbColor rgb="FF808080"/>
      <rgbColor rgb="FF9999FF"/>
      <rgbColor rgb="FF993366"/>
      <rgbColor rgb="FFFFF6D6"/>
      <rgbColor rgb="FFEAF1ED"/>
      <rgbColor rgb="FF660066"/>
      <rgbColor rgb="FFFF8080"/>
      <rgbColor rgb="FF0066CC"/>
      <rgbColor rgb="FFD9E4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6"/>
      <rgbColor rgb="FFCCFFCC"/>
      <rgbColor rgb="FFFFFF99"/>
      <rgbColor rgb="FF99CCFF"/>
      <rgbColor rgb="FFFF99CC"/>
      <rgbColor rgb="FFCC99FF"/>
      <rgbColor rgb="FFFBE5DF"/>
      <rgbColor rgb="FF3366FF"/>
      <rgbColor rgb="FF33CCCC"/>
      <rgbColor rgb="FF99CC00"/>
      <rgbColor rgb="FFFFCC00"/>
      <rgbColor rgb="FFD9962F"/>
      <rgbColor rgb="FFFF6600"/>
      <rgbColor rgb="FF5C6E68"/>
      <rgbColor rgb="FF8A9A94"/>
      <rgbColor rgb="FF003366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20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4" customFormat="false" ht="15" hidden="false" customHeight="false" outlineLevel="0" collapsed="false">
      <c r="B4" s="3" t="str">
        <f aca="true">"Today: "&amp;TEXT(TODAY(),"dddd, dd mmmm yyyy")</f>
        <v>Today: Monday, 22 June 2026</v>
      </c>
      <c r="C4" s="3"/>
      <c r="D4" s="3"/>
      <c r="E4" s="3"/>
      <c r="F4" s="3"/>
    </row>
    <row r="6" customFormat="false" ht="15" hidden="false" customHeight="false" outlineLevel="0" collapsed="false">
      <c r="B6" s="4" t="s">
        <v>2</v>
      </c>
      <c r="C6" s="4"/>
      <c r="D6" s="4"/>
      <c r="E6" s="4"/>
      <c r="F6" s="4"/>
    </row>
    <row r="7" customFormat="false" ht="15" hidden="false" customHeight="false" outlineLevel="0" collapsed="false">
      <c r="B7" s="5" t="s">
        <v>3</v>
      </c>
      <c r="C7" s="5"/>
      <c r="E7" s="5" t="s">
        <v>4</v>
      </c>
      <c r="F7" s="5"/>
    </row>
    <row r="8" customFormat="false" ht="24.45" hidden="false" customHeight="false" outlineLevel="0" collapsed="false">
      <c r="B8" s="6" t="n">
        <f aca="true">COUNTIFS(Appointments!$A$2:$A$1000,TODAY(),Appointments!$H$2:$H$1000,"&lt;&gt;Cancelled")</f>
        <v>2</v>
      </c>
      <c r="C8" s="6"/>
      <c r="E8" s="7" t="n">
        <f aca="true">COUNTIFS(Appointments!$A$2:$A$1000,TODAY(),Appointments!$G$2:$G$1000,"Yes",Appointments!$H$2:$H$1000,"&lt;&gt;Cancelled")</f>
        <v>1</v>
      </c>
      <c r="F8" s="7"/>
    </row>
    <row r="10" customFormat="false" ht="15" hidden="false" customHeight="false" outlineLevel="0" collapsed="false">
      <c r="B10" s="5" t="s">
        <v>5</v>
      </c>
      <c r="C10" s="5"/>
      <c r="E10" s="5" t="s">
        <v>6</v>
      </c>
      <c r="F10" s="5"/>
    </row>
    <row r="11" customFormat="false" ht="24.45" hidden="false" customHeight="false" outlineLevel="0" collapsed="false">
      <c r="B11" s="8" t="n">
        <f aca="true">SUMIFS(Appointments!$I$2:$I$1000,Appointments!$A$2:$A$1000,TODAY(),Appointments!$H$2:$H$1000,"&lt;&gt;Cancelled")</f>
        <v>900</v>
      </c>
      <c r="C11" s="8"/>
      <c r="E11" s="6" t="n">
        <f aca="true">COUNTIFS(Appointments!$A$2:$A$1000,"&gt;"&amp;TODAY(),Appointments!$H$2:$H$1000,"Booked")</f>
        <v>2</v>
      </c>
      <c r="F11" s="6"/>
    </row>
    <row r="13" customFormat="false" ht="15" hidden="false" customHeight="false" outlineLevel="0" collapsed="false">
      <c r="B13" s="4" t="s">
        <v>7</v>
      </c>
      <c r="C13" s="4"/>
      <c r="D13" s="4"/>
      <c r="E13" s="4"/>
      <c r="F13" s="4"/>
    </row>
    <row r="14" customFormat="false" ht="15" hidden="false" customHeight="false" outlineLevel="0" collapsed="false">
      <c r="B14" s="5" t="s">
        <v>8</v>
      </c>
      <c r="C14" s="5"/>
      <c r="E14" s="5" t="s">
        <v>9</v>
      </c>
      <c r="F14" s="5"/>
    </row>
    <row r="15" customFormat="false" ht="24.45" hidden="false" customHeight="false" outlineLevel="0" collapsed="false">
      <c r="B15" s="8" t="n">
        <f aca="false">SUM(Accounts!$D$2:$D$1000)</f>
        <v>8900</v>
      </c>
      <c r="C15" s="8"/>
      <c r="E15" s="8" t="n">
        <f aca="false">SUM(Accounts!$E$2:$E$1000)</f>
        <v>6300</v>
      </c>
      <c r="F15" s="8"/>
    </row>
    <row r="17" customFormat="false" ht="15" hidden="false" customHeight="false" outlineLevel="0" collapsed="false">
      <c r="B17" s="5" t="s">
        <v>10</v>
      </c>
      <c r="C17" s="5"/>
      <c r="E17" s="5" t="s">
        <v>11</v>
      </c>
      <c r="F17" s="5"/>
    </row>
    <row r="18" customFormat="false" ht="24.45" hidden="false" customHeight="false" outlineLevel="0" collapsed="false">
      <c r="B18" s="9" t="n">
        <f aca="false">SUM(Accounts!$F$2:$F$1000)</f>
        <v>2600</v>
      </c>
      <c r="C18" s="9"/>
      <c r="E18" s="6" t="n">
        <f aca="false">COUNTA(Patients!$A$2:$A$1000)</f>
        <v>5</v>
      </c>
      <c r="F18" s="6"/>
    </row>
    <row r="20" customFormat="false" ht="15" hidden="false" customHeight="false" outlineLevel="0" collapsed="false">
      <c r="B20" s="4" t="s">
        <v>12</v>
      </c>
      <c r="C20" s="4"/>
      <c r="D20" s="4"/>
      <c r="E20" s="4"/>
      <c r="F20" s="4"/>
    </row>
    <row r="21" customFormat="false" ht="15" hidden="false" customHeight="false" outlineLevel="0" collapsed="false">
      <c r="B21" s="5" t="s">
        <v>13</v>
      </c>
      <c r="C21" s="5"/>
      <c r="E21" s="5" t="s">
        <v>14</v>
      </c>
      <c r="F21" s="5"/>
    </row>
    <row r="22" customFormat="false" ht="24.45" hidden="false" customHeight="false" outlineLevel="0" collapsed="false">
      <c r="B22" s="10" t="n">
        <f aca="false">COUNTIF('Assistant Tasks'!$D$2:$D$1000,"Open")</f>
        <v>3</v>
      </c>
      <c r="C22" s="10"/>
      <c r="E22" s="10" t="n">
        <f aca="false">COUNTIF('Doctor Messages'!$E$2:$E$1000,"No")</f>
        <v>2</v>
      </c>
      <c r="F22" s="10"/>
    </row>
    <row r="25" customFormat="false" ht="30" hidden="false" customHeight="true" outlineLevel="0" collapsed="false">
      <c r="B25" s="11" t="s">
        <v>15</v>
      </c>
      <c r="C25" s="11"/>
      <c r="D25" s="11"/>
      <c r="E25" s="11"/>
      <c r="F25" s="11"/>
    </row>
  </sheetData>
  <mergeCells count="27">
    <mergeCell ref="B2:F2"/>
    <mergeCell ref="B3:F3"/>
    <mergeCell ref="B4:F4"/>
    <mergeCell ref="B6:F6"/>
    <mergeCell ref="B7:C7"/>
    <mergeCell ref="E7:F7"/>
    <mergeCell ref="B8:C8"/>
    <mergeCell ref="E8:F8"/>
    <mergeCell ref="B10:C10"/>
    <mergeCell ref="E10:F10"/>
    <mergeCell ref="B11:C11"/>
    <mergeCell ref="E11:F11"/>
    <mergeCell ref="B13:F13"/>
    <mergeCell ref="B14:C14"/>
    <mergeCell ref="E14:F14"/>
    <mergeCell ref="B15:C15"/>
    <mergeCell ref="E15:F15"/>
    <mergeCell ref="B17:C17"/>
    <mergeCell ref="E17:F17"/>
    <mergeCell ref="B18:C18"/>
    <mergeCell ref="E18:F18"/>
    <mergeCell ref="B20:F20"/>
    <mergeCell ref="B21:C21"/>
    <mergeCell ref="E21:F21"/>
    <mergeCell ref="B22:C22"/>
    <mergeCell ref="E22:F22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2" t="s">
        <v>22</v>
      </c>
      <c r="H1" s="12" t="s">
        <v>23</v>
      </c>
      <c r="I1" s="12" t="s">
        <v>24</v>
      </c>
    </row>
    <row r="2" customFormat="false" ht="15" hidden="false" customHeight="false" outlineLevel="0" collapsed="false">
      <c r="A2" s="13" t="n">
        <v>46195</v>
      </c>
      <c r="B2" s="14" t="s">
        <v>25</v>
      </c>
      <c r="C2" s="15" t="s">
        <v>26</v>
      </c>
      <c r="D2" s="15" t="s">
        <v>27</v>
      </c>
      <c r="E2" s="15" t="s">
        <v>28</v>
      </c>
      <c r="F2" s="14" t="s">
        <v>29</v>
      </c>
      <c r="G2" s="14" t="s">
        <v>30</v>
      </c>
      <c r="H2" s="14" t="s">
        <v>31</v>
      </c>
      <c r="I2" s="16" t="n">
        <v>600</v>
      </c>
    </row>
    <row r="3" customFormat="false" ht="15" hidden="false" customHeight="false" outlineLevel="0" collapsed="false">
      <c r="A3" s="17" t="n">
        <v>46195</v>
      </c>
      <c r="B3" s="18" t="s">
        <v>32</v>
      </c>
      <c r="C3" s="19" t="s">
        <v>33</v>
      </c>
      <c r="D3" s="20" t="s">
        <v>34</v>
      </c>
      <c r="E3" s="19" t="s">
        <v>35</v>
      </c>
      <c r="F3" s="18" t="s">
        <v>36</v>
      </c>
      <c r="G3" s="21" t="s">
        <v>37</v>
      </c>
      <c r="H3" s="18" t="s">
        <v>31</v>
      </c>
      <c r="I3" s="22" t="n">
        <v>300</v>
      </c>
    </row>
    <row r="4" customFormat="false" ht="15" hidden="false" customHeight="false" outlineLevel="0" collapsed="false">
      <c r="A4" s="13" t="n">
        <v>46196</v>
      </c>
      <c r="B4" s="14" t="s">
        <v>38</v>
      </c>
      <c r="C4" s="15" t="s">
        <v>39</v>
      </c>
      <c r="D4" s="15" t="s">
        <v>40</v>
      </c>
      <c r="E4" s="15" t="s">
        <v>41</v>
      </c>
      <c r="F4" s="14" t="s">
        <v>42</v>
      </c>
      <c r="G4" s="14" t="s">
        <v>30</v>
      </c>
      <c r="H4" s="14" t="s">
        <v>31</v>
      </c>
      <c r="I4" s="16" t="n">
        <v>800</v>
      </c>
    </row>
    <row r="5" customFormat="false" ht="15" hidden="false" customHeight="false" outlineLevel="0" collapsed="false">
      <c r="A5" s="17" t="n">
        <v>46197</v>
      </c>
      <c r="B5" s="18" t="s">
        <v>43</v>
      </c>
      <c r="C5" s="20" t="s">
        <v>44</v>
      </c>
      <c r="D5" s="20" t="s">
        <v>45</v>
      </c>
      <c r="E5" s="20" t="s">
        <v>46</v>
      </c>
      <c r="F5" s="18" t="s">
        <v>29</v>
      </c>
      <c r="G5" s="18" t="s">
        <v>30</v>
      </c>
      <c r="H5" s="18" t="s">
        <v>31</v>
      </c>
      <c r="I5" s="22" t="n">
        <v>500</v>
      </c>
    </row>
    <row r="6" customFormat="false" ht="15" hidden="false" customHeight="false" outlineLevel="0" collapsed="false">
      <c r="A6" s="13" t="n">
        <v>46193</v>
      </c>
      <c r="B6" s="14" t="s">
        <v>47</v>
      </c>
      <c r="C6" s="15" t="s">
        <v>48</v>
      </c>
      <c r="D6" s="15" t="s">
        <v>49</v>
      </c>
      <c r="E6" s="15" t="s">
        <v>50</v>
      </c>
      <c r="F6" s="14" t="s">
        <v>51</v>
      </c>
      <c r="G6" s="14" t="s">
        <v>30</v>
      </c>
      <c r="H6" s="14" t="s">
        <v>52</v>
      </c>
      <c r="I6" s="16" t="n">
        <v>4000</v>
      </c>
    </row>
  </sheetData>
  <dataValidations count="3">
    <dataValidation allowBlank="true" errorStyle="stop" operator="between" showDropDown="false" showErrorMessage="false" showInputMessage="false" sqref="F2:F1000" type="list">
      <formula1>"WhatsApp,Website,Google,Walk-in,Phone"</formula1>
      <formula2>0</formula2>
    </dataValidation>
    <dataValidation allowBlank="true" errorStyle="stop" operator="between" showDropDown="false" showErrorMessage="false" showInputMessage="false" sqref="G2:G1000" type="list">
      <formula1>"Yes,No"</formula1>
      <formula2>0</formula2>
    </dataValidation>
    <dataValidation allowBlank="true" errorStyle="stop" operator="between" showDropDown="false" showErrorMessage="false" showInputMessage="false" sqref="H2:H1000" type="list">
      <formula1>"Booked,Done,Cancelled,No-show"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5" min="3" style="0" width="16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12" t="s">
        <v>18</v>
      </c>
      <c r="B1" s="12" t="s">
        <v>19</v>
      </c>
      <c r="C1" s="12" t="s">
        <v>53</v>
      </c>
      <c r="D1" s="12" t="s">
        <v>54</v>
      </c>
      <c r="E1" s="12" t="s">
        <v>55</v>
      </c>
      <c r="F1" s="12" t="s">
        <v>56</v>
      </c>
      <c r="G1" s="12" t="s">
        <v>57</v>
      </c>
    </row>
    <row r="2" customFormat="false" ht="15" hidden="false" customHeight="false" outlineLevel="0" collapsed="false">
      <c r="A2" s="15" t="s">
        <v>26</v>
      </c>
      <c r="B2" s="15" t="s">
        <v>27</v>
      </c>
      <c r="C2" s="15" t="s">
        <v>29</v>
      </c>
      <c r="D2" s="23" t="n">
        <f aca="false">COUNTIFS(Appointments!$C$2:$C$1000,$A2,Appointments!$H$2:$H$1000,"Done")</f>
        <v>0</v>
      </c>
      <c r="E2" s="16" t="n">
        <f aca="false">SUMIF(Accounts!$B$2:$B$1000,$A2,Accounts!$D$2:$D$1000)</f>
        <v>600</v>
      </c>
      <c r="F2" s="16" t="n">
        <f aca="false">SUMIF(Accounts!$B$2:$B$1000,$A2,Accounts!$E$2:$E$1000)</f>
        <v>0</v>
      </c>
      <c r="G2" s="16" t="n">
        <f aca="false">E2-F2</f>
        <v>600</v>
      </c>
    </row>
    <row r="3" customFormat="false" ht="15" hidden="false" customHeight="false" outlineLevel="0" collapsed="false">
      <c r="A3" s="20" t="s">
        <v>33</v>
      </c>
      <c r="B3" s="20" t="s">
        <v>34</v>
      </c>
      <c r="C3" s="20" t="s">
        <v>36</v>
      </c>
      <c r="D3" s="23" t="n">
        <f aca="false">COUNTIFS(Appointments!$C$2:$C$1000,$A3,Appointments!$H$2:$H$1000,"Done")</f>
        <v>0</v>
      </c>
      <c r="E3" s="22" t="n">
        <f aca="false">SUMIF(Accounts!$B$2:$B$1000,$A3,Accounts!$D$2:$D$1000)</f>
        <v>300</v>
      </c>
      <c r="F3" s="22" t="n">
        <f aca="false">SUMIF(Accounts!$B$2:$B$1000,$A3,Accounts!$E$2:$E$1000)</f>
        <v>300</v>
      </c>
      <c r="G3" s="22" t="n">
        <f aca="false">E3-F3</f>
        <v>0</v>
      </c>
    </row>
    <row r="4" customFormat="false" ht="15" hidden="false" customHeight="false" outlineLevel="0" collapsed="false">
      <c r="A4" s="15" t="s">
        <v>39</v>
      </c>
      <c r="B4" s="15" t="s">
        <v>40</v>
      </c>
      <c r="C4" s="15" t="s">
        <v>42</v>
      </c>
      <c r="D4" s="23" t="n">
        <f aca="false">COUNTIFS(Appointments!$C$2:$C$1000,$A4,Appointments!$H$2:$H$1000,"Done")</f>
        <v>0</v>
      </c>
      <c r="E4" s="16" t="n">
        <f aca="false">SUMIF(Accounts!$B$2:$B$1000,$A4,Accounts!$D$2:$D$1000)</f>
        <v>3500</v>
      </c>
      <c r="F4" s="16" t="n">
        <f aca="false">SUMIF(Accounts!$B$2:$B$1000,$A4,Accounts!$E$2:$E$1000)</f>
        <v>2000</v>
      </c>
      <c r="G4" s="16" t="n">
        <f aca="false">E4-F4</f>
        <v>1500</v>
      </c>
    </row>
    <row r="5" customFormat="false" ht="15" hidden="false" customHeight="false" outlineLevel="0" collapsed="false">
      <c r="A5" s="20" t="s">
        <v>44</v>
      </c>
      <c r="B5" s="20" t="s">
        <v>45</v>
      </c>
      <c r="C5" s="20" t="s">
        <v>29</v>
      </c>
      <c r="D5" s="23" t="n">
        <f aca="false">COUNTIFS(Appointments!$C$2:$C$1000,$A5,Appointments!$H$2:$H$1000,"Done")</f>
        <v>0</v>
      </c>
      <c r="E5" s="22" t="n">
        <f aca="false">SUMIF(Accounts!$B$2:$B$1000,$A5,Accounts!$D$2:$D$1000)</f>
        <v>500</v>
      </c>
      <c r="F5" s="22" t="n">
        <f aca="false">SUMIF(Accounts!$B$2:$B$1000,$A5,Accounts!$E$2:$E$1000)</f>
        <v>0</v>
      </c>
      <c r="G5" s="22" t="n">
        <f aca="false">E5-F5</f>
        <v>500</v>
      </c>
    </row>
    <row r="6" customFormat="false" ht="15" hidden="false" customHeight="false" outlineLevel="0" collapsed="false">
      <c r="A6" s="15" t="s">
        <v>48</v>
      </c>
      <c r="B6" s="15" t="s">
        <v>49</v>
      </c>
      <c r="C6" s="15" t="s">
        <v>51</v>
      </c>
      <c r="D6" s="23" t="n">
        <f aca="false">COUNTIFS(Appointments!$C$2:$C$1000,$A6,Appointments!$H$2:$H$1000,"Done")</f>
        <v>1</v>
      </c>
      <c r="E6" s="16" t="n">
        <f aca="false">SUMIF(Accounts!$B$2:$B$1000,$A6,Accounts!$D$2:$D$1000)</f>
        <v>4000</v>
      </c>
      <c r="F6" s="16" t="n">
        <f aca="false">SUMIF(Accounts!$B$2:$B$1000,$A6,Accounts!$E$2:$E$1000)</f>
        <v>4000</v>
      </c>
      <c r="G6" s="16" t="n">
        <f aca="false">E6-F6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6" min="4" style="0" width="14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2" t="s">
        <v>16</v>
      </c>
      <c r="B1" s="12" t="s">
        <v>18</v>
      </c>
      <c r="C1" s="12" t="s">
        <v>58</v>
      </c>
      <c r="D1" s="12" t="s">
        <v>59</v>
      </c>
      <c r="E1" s="12" t="s">
        <v>56</v>
      </c>
      <c r="F1" s="12" t="s">
        <v>60</v>
      </c>
      <c r="H1" s="12" t="s">
        <v>61</v>
      </c>
      <c r="I1" s="24"/>
    </row>
    <row r="2" customFormat="false" ht="15" hidden="false" customHeight="false" outlineLevel="0" collapsed="false">
      <c r="A2" s="13" t="n">
        <v>46193</v>
      </c>
      <c r="B2" s="15" t="s">
        <v>48</v>
      </c>
      <c r="C2" s="15" t="s">
        <v>50</v>
      </c>
      <c r="D2" s="16" t="n">
        <v>4000</v>
      </c>
      <c r="E2" s="16" t="n">
        <v>4000</v>
      </c>
      <c r="F2" s="25" t="n">
        <f aca="false">D2-E2</f>
        <v>0</v>
      </c>
      <c r="H2" s="26" t="s">
        <v>62</v>
      </c>
      <c r="I2" s="27" t="n">
        <f aca="false">SUM(D2:D1000)</f>
        <v>8900</v>
      </c>
    </row>
    <row r="3" customFormat="false" ht="15" hidden="false" customHeight="false" outlineLevel="0" collapsed="false">
      <c r="A3" s="17" t="n">
        <v>46194</v>
      </c>
      <c r="B3" s="20" t="s">
        <v>39</v>
      </c>
      <c r="C3" s="20" t="s">
        <v>63</v>
      </c>
      <c r="D3" s="22" t="n">
        <v>3500</v>
      </c>
      <c r="E3" s="22" t="n">
        <v>2000</v>
      </c>
      <c r="F3" s="25" t="n">
        <f aca="false">D3-E3</f>
        <v>1500</v>
      </c>
      <c r="H3" s="26" t="s">
        <v>9</v>
      </c>
      <c r="I3" s="27" t="n">
        <f aca="false">SUM(E2:E1000)</f>
        <v>6300</v>
      </c>
    </row>
    <row r="4" customFormat="false" ht="15" hidden="false" customHeight="false" outlineLevel="0" collapsed="false">
      <c r="A4" s="13" t="n">
        <v>46195</v>
      </c>
      <c r="B4" s="15" t="s">
        <v>26</v>
      </c>
      <c r="C4" s="15" t="s">
        <v>28</v>
      </c>
      <c r="D4" s="16" t="n">
        <v>600</v>
      </c>
      <c r="E4" s="16" t="n">
        <v>0</v>
      </c>
      <c r="F4" s="25" t="n">
        <f aca="false">D4-E4</f>
        <v>600</v>
      </c>
      <c r="H4" s="26" t="s">
        <v>10</v>
      </c>
      <c r="I4" s="28" t="n">
        <f aca="false">SUM(F2:F1000)</f>
        <v>2600</v>
      </c>
    </row>
    <row r="5" customFormat="false" ht="15" hidden="false" customHeight="false" outlineLevel="0" collapsed="false">
      <c r="A5" s="17" t="n">
        <v>46195</v>
      </c>
      <c r="B5" s="20" t="s">
        <v>33</v>
      </c>
      <c r="C5" s="20" t="s">
        <v>64</v>
      </c>
      <c r="D5" s="22" t="n">
        <v>300</v>
      </c>
      <c r="E5" s="22" t="n">
        <v>300</v>
      </c>
      <c r="F5" s="25" t="n">
        <f aca="false">D5-E5</f>
        <v>0</v>
      </c>
    </row>
    <row r="6" customFormat="false" ht="15" hidden="false" customHeight="false" outlineLevel="0" collapsed="false">
      <c r="A6" s="13" t="n">
        <v>46197</v>
      </c>
      <c r="B6" s="15" t="s">
        <v>44</v>
      </c>
      <c r="C6" s="15" t="s">
        <v>65</v>
      </c>
      <c r="D6" s="16" t="n">
        <v>500</v>
      </c>
      <c r="E6" s="16" t="n">
        <v>0</v>
      </c>
      <c r="F6" s="25" t="n">
        <f aca="false">D6-E6</f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12" t="s">
        <v>16</v>
      </c>
      <c r="B1" s="12" t="s">
        <v>18</v>
      </c>
      <c r="C1" s="12" t="s">
        <v>66</v>
      </c>
      <c r="D1" s="12" t="s">
        <v>23</v>
      </c>
      <c r="E1" s="12" t="s">
        <v>67</v>
      </c>
    </row>
    <row r="2" customFormat="false" ht="15" hidden="false" customHeight="false" outlineLevel="0" collapsed="false">
      <c r="A2" s="13" t="n">
        <v>46195</v>
      </c>
      <c r="B2" s="15" t="s">
        <v>26</v>
      </c>
      <c r="C2" s="15" t="s">
        <v>68</v>
      </c>
      <c r="D2" s="14" t="s">
        <v>69</v>
      </c>
      <c r="E2" s="14" t="s">
        <v>70</v>
      </c>
    </row>
    <row r="3" customFormat="false" ht="15" hidden="false" customHeight="false" outlineLevel="0" collapsed="false">
      <c r="A3" s="17" t="n">
        <v>46195</v>
      </c>
      <c r="B3" s="20" t="s">
        <v>33</v>
      </c>
      <c r="C3" s="20" t="s">
        <v>71</v>
      </c>
      <c r="D3" s="18" t="s">
        <v>69</v>
      </c>
      <c r="E3" s="29" t="s">
        <v>72</v>
      </c>
    </row>
    <row r="4" customFormat="false" ht="15" hidden="false" customHeight="false" outlineLevel="0" collapsed="false">
      <c r="A4" s="13" t="n">
        <v>46196</v>
      </c>
      <c r="B4" s="15" t="s">
        <v>39</v>
      </c>
      <c r="C4" s="15" t="s">
        <v>73</v>
      </c>
      <c r="D4" s="14" t="s">
        <v>69</v>
      </c>
      <c r="E4" s="14" t="s">
        <v>70</v>
      </c>
    </row>
  </sheetData>
  <dataValidations count="2">
    <dataValidation allowBlank="true" errorStyle="stop" operator="between" showDropDown="false" showErrorMessage="false" showInputMessage="false" sqref="D2:D1000" type="list">
      <formula1>"Open,Done"</formula1>
      <formula2>0</formula2>
    </dataValidation>
    <dataValidation allowBlank="true" errorStyle="stop" operator="between" showDropDown="false" showErrorMessage="false" showInputMessage="false" sqref="E2:E1000" type="list">
      <formula1>"High,Normal"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2" t="s">
        <v>16</v>
      </c>
      <c r="B1" s="12" t="s">
        <v>18</v>
      </c>
      <c r="C1" s="12" t="s">
        <v>74</v>
      </c>
      <c r="D1" s="12" t="s">
        <v>67</v>
      </c>
      <c r="E1" s="12" t="s">
        <v>75</v>
      </c>
    </row>
    <row r="2" customFormat="false" ht="30" hidden="false" customHeight="true" outlineLevel="0" collapsed="false">
      <c r="A2" s="13" t="n">
        <v>46195</v>
      </c>
      <c r="B2" s="30" t="s">
        <v>33</v>
      </c>
      <c r="C2" s="31" t="s">
        <v>76</v>
      </c>
      <c r="D2" s="29" t="s">
        <v>72</v>
      </c>
      <c r="E2" s="14" t="s">
        <v>30</v>
      </c>
    </row>
    <row r="3" customFormat="false" ht="30" hidden="false" customHeight="true" outlineLevel="0" collapsed="false">
      <c r="A3" s="17" t="n">
        <v>46197</v>
      </c>
      <c r="B3" s="32" t="s">
        <v>44</v>
      </c>
      <c r="C3" s="33" t="s">
        <v>77</v>
      </c>
      <c r="D3" s="18" t="s">
        <v>70</v>
      </c>
      <c r="E3" s="18" t="s">
        <v>30</v>
      </c>
    </row>
  </sheetData>
  <dataValidations count="2">
    <dataValidation allowBlank="true" errorStyle="stop" operator="between" showDropDown="false" showErrorMessage="false" showInputMessage="false" sqref="D2:D1000" type="list">
      <formula1>"High,Normal"</formula1>
      <formula2>0</formula2>
    </dataValidation>
    <dataValidation allowBlank="true" errorStyle="stop" operator="between" showDropDown="false" showErrorMessage="false" showInputMessage="false" sqref="E2:E10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35.05" hidden="false" customHeight="true" outlineLevel="0" collapsed="false">
      <c r="A1" s="12" t="s">
        <v>58</v>
      </c>
      <c r="B1" s="12" t="s">
        <v>78</v>
      </c>
      <c r="D1" s="34" t="s">
        <v>79</v>
      </c>
      <c r="E1" s="34"/>
      <c r="F1" s="34"/>
    </row>
    <row r="2" customFormat="false" ht="15" hidden="false" customHeight="false" outlineLevel="0" collapsed="false">
      <c r="A2" s="15" t="s">
        <v>80</v>
      </c>
      <c r="B2" s="35" t="n">
        <v>300</v>
      </c>
    </row>
    <row r="3" customFormat="false" ht="15" hidden="false" customHeight="false" outlineLevel="0" collapsed="false">
      <c r="A3" s="20" t="s">
        <v>28</v>
      </c>
      <c r="B3" s="35" t="n">
        <v>600</v>
      </c>
    </row>
    <row r="4" customFormat="false" ht="15" hidden="false" customHeight="false" outlineLevel="0" collapsed="false">
      <c r="A4" s="15" t="s">
        <v>81</v>
      </c>
      <c r="B4" s="35" t="n">
        <v>800</v>
      </c>
    </row>
    <row r="5" customFormat="false" ht="15" hidden="false" customHeight="false" outlineLevel="0" collapsed="false">
      <c r="A5" s="20" t="s">
        <v>82</v>
      </c>
      <c r="B5" s="35" t="n">
        <v>4500</v>
      </c>
    </row>
    <row r="6" customFormat="false" ht="15" hidden="false" customHeight="false" outlineLevel="0" collapsed="false">
      <c r="A6" s="15" t="s">
        <v>83</v>
      </c>
      <c r="B6" s="35" t="n">
        <v>1000</v>
      </c>
    </row>
    <row r="7" customFormat="false" ht="15" hidden="false" customHeight="false" outlineLevel="0" collapsed="false">
      <c r="A7" s="20" t="s">
        <v>84</v>
      </c>
      <c r="B7" s="35" t="n">
        <v>25000</v>
      </c>
    </row>
    <row r="8" customFormat="false" ht="15" hidden="false" customHeight="false" outlineLevel="0" collapsed="false">
      <c r="A8" s="15" t="s">
        <v>85</v>
      </c>
      <c r="B8" s="35" t="n">
        <v>35000</v>
      </c>
    </row>
    <row r="9" customFormat="false" ht="15" hidden="false" customHeight="false" outlineLevel="0" collapsed="false">
      <c r="A9" s="20" t="s">
        <v>86</v>
      </c>
      <c r="B9" s="35" t="n">
        <v>20000</v>
      </c>
    </row>
    <row r="10" customFormat="false" ht="15" hidden="false" customHeight="false" outlineLevel="0" collapsed="false">
      <c r="A10" s="15" t="s">
        <v>50</v>
      </c>
      <c r="B10" s="35" t="n">
        <v>4000</v>
      </c>
    </row>
    <row r="11" customFormat="false" ht="15" hidden="false" customHeight="false" outlineLevel="0" collapsed="false">
      <c r="A11" s="20" t="s">
        <v>87</v>
      </c>
      <c r="B11" s="35" t="n">
        <v>4000</v>
      </c>
    </row>
    <row r="12" customFormat="false" ht="15" hidden="false" customHeight="false" outlineLevel="0" collapsed="false">
      <c r="A12" s="15" t="s">
        <v>88</v>
      </c>
      <c r="B12" s="35" t="n">
        <v>12000</v>
      </c>
    </row>
    <row r="13" customFormat="false" ht="15" hidden="false" customHeight="false" outlineLevel="0" collapsed="false">
      <c r="A13" s="20" t="s">
        <v>89</v>
      </c>
      <c r="B13" s="35" t="n">
        <v>200</v>
      </c>
    </row>
  </sheetData>
  <mergeCells count="1">
    <mergeCell ref="D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2026-06-22T15:27:37Z</dcterms:created>
  <dc:creator>openpyxl</dc:creator>
  <dc:description/>
  <dc:language>en-US</dc:language>
  <cp:lastModifiedBy/>
  <dcterms:modified xsi:type="dcterms:W3CDTF">2026-06-22T15:27:37Z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